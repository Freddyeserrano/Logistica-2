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reddyserrano/Desktop/Logistica 2/"/>
    </mc:Choice>
  </mc:AlternateContent>
  <xr:revisionPtr revIDLastSave="0" documentId="13_ncr:1_{5EE0CD0C-4680-364D-9BB7-F429F5CEA831}" xr6:coauthVersionLast="47" xr6:coauthVersionMax="47" xr10:uidLastSave="{00000000-0000-0000-0000-000000000000}"/>
  <workbookProtection workbookAlgorithmName="SHA-512" workbookHashValue="cEOESLjjOoJP5TMcmQJm0Rx75DRSc3YJGtZCinIU3HRwg1HexYMyJccS+tUjmfmxSlZlh43JXQuchX5IhukaOA==" workbookSaltValue="vYOndshDwidZcV0HQohpQw==" workbookSpinCount="100000" lockStructure="1"/>
  <bookViews>
    <workbookView xWindow="20" yWindow="500" windowWidth="28800" windowHeight="16340" xr2:uid="{A1F8CD7F-A236-4312-BB23-B62F90DB9A55}"/>
  </bookViews>
  <sheets>
    <sheet name="C&amp;W trabaj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19" i="1" l="1"/>
  <c r="AE19" i="1"/>
  <c r="S21" i="1"/>
  <c r="T21" i="1" s="1"/>
  <c r="G5" i="1" l="1"/>
  <c r="D5" i="1"/>
  <c r="F5" i="1"/>
  <c r="I5" i="1"/>
  <c r="E5" i="1"/>
  <c r="C5" i="1"/>
  <c r="H5" i="1"/>
  <c r="B5" i="1"/>
  <c r="J5" i="1"/>
  <c r="G6" i="1"/>
  <c r="J6" i="1"/>
  <c r="F6" i="1"/>
  <c r="E6" i="1"/>
  <c r="H6" i="1"/>
  <c r="I6" i="1"/>
  <c r="C6" i="1"/>
  <c r="B6" i="1"/>
  <c r="D6" i="1"/>
  <c r="F9" i="1"/>
  <c r="E9" i="1"/>
  <c r="I9" i="1"/>
  <c r="H9" i="1"/>
  <c r="D9" i="1"/>
  <c r="J9" i="1"/>
  <c r="C9" i="1"/>
  <c r="B9" i="1"/>
  <c r="G9" i="1"/>
  <c r="H4" i="1"/>
  <c r="J4" i="1"/>
  <c r="F4" i="1"/>
  <c r="G4" i="1"/>
  <c r="I4" i="1"/>
  <c r="E4" i="1"/>
  <c r="C4" i="1"/>
  <c r="B4" i="1"/>
  <c r="D4" i="1"/>
  <c r="J8" i="1"/>
  <c r="H8" i="1"/>
  <c r="E8" i="1"/>
  <c r="F8" i="1"/>
  <c r="G8" i="1"/>
  <c r="D8" i="1"/>
  <c r="I8" i="1"/>
  <c r="B8" i="1"/>
  <c r="C8" i="1"/>
  <c r="J3" i="1"/>
  <c r="D3" i="1"/>
  <c r="E3" i="1"/>
  <c r="C3" i="1"/>
  <c r="G3" i="1"/>
  <c r="H3" i="1"/>
  <c r="I3" i="1"/>
  <c r="B3" i="1"/>
  <c r="F3" i="1"/>
  <c r="E7" i="1"/>
  <c r="G7" i="1"/>
  <c r="D7" i="1"/>
  <c r="C7" i="1"/>
  <c r="I7" i="1"/>
  <c r="J7" i="1"/>
  <c r="F7" i="1"/>
  <c r="B7" i="1"/>
  <c r="H7" i="1"/>
  <c r="G2" i="1"/>
  <c r="D2" i="1"/>
  <c r="J2" i="1"/>
  <c r="I2" i="1"/>
  <c r="H2" i="1"/>
  <c r="C2" i="1"/>
  <c r="F2" i="1"/>
  <c r="B2" i="1"/>
  <c r="E2" i="1"/>
  <c r="C10" i="1"/>
  <c r="G10" i="1"/>
  <c r="E10" i="1"/>
  <c r="H10" i="1"/>
  <c r="I10" i="1"/>
  <c r="F10" i="1"/>
  <c r="J10" i="1"/>
  <c r="B10" i="1"/>
  <c r="D10" i="1"/>
</calcChain>
</file>

<file path=xl/sharedStrings.xml><?xml version="1.0" encoding="utf-8"?>
<sst xmlns="http://schemas.openxmlformats.org/spreadsheetml/2006/main" count="12" uniqueCount="11">
  <si>
    <t>Max ahorro</t>
  </si>
  <si>
    <t>j</t>
  </si>
  <si>
    <t>i</t>
  </si>
  <si>
    <t>sij</t>
  </si>
  <si>
    <t>Área de trabajo</t>
  </si>
  <si>
    <t>Demanda</t>
  </si>
  <si>
    <t>Distancia</t>
  </si>
  <si>
    <t>Ruta</t>
  </si>
  <si>
    <t>Total</t>
  </si>
  <si>
    <t>Ahorro</t>
  </si>
  <si>
    <t>Ahorrado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</si>
</sst>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0" xfId="0" applyFill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left"/>
    </xf>
    <xf numFmtId="0" fontId="0" fillId="2" borderId="0" xfId="0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right"/>
    </xf>
    <xf numFmtId="0" fontId="0" fillId="3" borderId="0" xfId="0" applyFill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</xdr:row>
      <xdr:rowOff>0</xdr:rowOff>
    </xdr:from>
    <xdr:to>
      <xdr:col>19</xdr:col>
      <xdr:colOff>455084</xdr:colOff>
      <xdr:row>14</xdr:row>
      <xdr:rowOff>21166</xdr:rowOff>
    </xdr:to>
    <xdr:sp macro="[0]!ThisWorkbook.maxAhorro" textlink="">
      <xdr:nvSpPr>
        <xdr:cNvPr id="3" name="Rectangle: Rounded Corners 4">
          <a:extLst>
            <a:ext uri="{FF2B5EF4-FFF2-40B4-BE49-F238E27FC236}">
              <a16:creationId xmlns:a16="http://schemas.microsoft.com/office/drawing/2014/main" id="{AF7122B1-7566-47F0-BBAF-EB07B9EFD5E4}"/>
            </a:ext>
          </a:extLst>
        </xdr:cNvPr>
        <xdr:cNvSpPr/>
      </xdr:nvSpPr>
      <xdr:spPr>
        <a:xfrm>
          <a:off x="10972800" y="2286000"/>
          <a:ext cx="1064684" cy="4021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maxAhorro</a:t>
          </a:r>
        </a:p>
      </xdr:txBody>
    </xdr:sp>
    <xdr:clientData/>
  </xdr:twoCellAnchor>
  <xdr:twoCellAnchor>
    <xdr:from>
      <xdr:col>18</xdr:col>
      <xdr:colOff>582083</xdr:colOff>
      <xdr:row>0</xdr:row>
      <xdr:rowOff>158750</xdr:rowOff>
    </xdr:from>
    <xdr:to>
      <xdr:col>20</xdr:col>
      <xdr:colOff>201083</xdr:colOff>
      <xdr:row>2</xdr:row>
      <xdr:rowOff>179916</xdr:rowOff>
    </xdr:to>
    <xdr:sp macro="[0]!ThisWorkbook.distRuta" textlink="">
      <xdr:nvSpPr>
        <xdr:cNvPr id="4" name="Rectangle: Rounded Corners 5">
          <a:extLst>
            <a:ext uri="{FF2B5EF4-FFF2-40B4-BE49-F238E27FC236}">
              <a16:creationId xmlns:a16="http://schemas.microsoft.com/office/drawing/2014/main" id="{B8C7D7CC-A68C-4C34-BFCE-F1D966D3F2D2}"/>
            </a:ext>
          </a:extLst>
        </xdr:cNvPr>
        <xdr:cNvSpPr/>
      </xdr:nvSpPr>
      <xdr:spPr>
        <a:xfrm>
          <a:off x="12774083" y="158750"/>
          <a:ext cx="846667" cy="4021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distRuta</a:t>
          </a:r>
        </a:p>
      </xdr:txBody>
    </xdr:sp>
    <xdr:clientData/>
  </xdr:twoCellAnchor>
  <xdr:twoCellAnchor>
    <xdr:from>
      <xdr:col>18</xdr:col>
      <xdr:colOff>10583</xdr:colOff>
      <xdr:row>8</xdr:row>
      <xdr:rowOff>0</xdr:rowOff>
    </xdr:from>
    <xdr:to>
      <xdr:col>20</xdr:col>
      <xdr:colOff>201083</xdr:colOff>
      <xdr:row>10</xdr:row>
      <xdr:rowOff>21166</xdr:rowOff>
    </xdr:to>
    <xdr:sp macro="[0]!ThisWorkbook.borrarFilaColumn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8FAAB7-9A47-4CD8-A7C7-91E7FF984B87}"/>
            </a:ext>
          </a:extLst>
        </xdr:cNvPr>
        <xdr:cNvSpPr/>
      </xdr:nvSpPr>
      <xdr:spPr>
        <a:xfrm>
          <a:off x="12202583" y="1524000"/>
          <a:ext cx="1418167" cy="4021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Anular Fila Columna</a:t>
          </a:r>
        </a:p>
      </xdr:txBody>
    </xdr:sp>
    <xdr:clientData/>
  </xdr:twoCellAnchor>
  <xdr:twoCellAnchor>
    <xdr:from>
      <xdr:col>15</xdr:col>
      <xdr:colOff>63500</xdr:colOff>
      <xdr:row>8</xdr:row>
      <xdr:rowOff>0</xdr:rowOff>
    </xdr:from>
    <xdr:to>
      <xdr:col>17</xdr:col>
      <xdr:colOff>254000</xdr:colOff>
      <xdr:row>10</xdr:row>
      <xdr:rowOff>21166</xdr:rowOff>
    </xdr:to>
    <xdr:sp macro="[0]!ThisWorkbook.borrarCelda" textlink="">
      <xdr:nvSpPr>
        <xdr:cNvPr id="6" name="Rectangle: Rounded Corners 4">
          <a:extLst>
            <a:ext uri="{FF2B5EF4-FFF2-40B4-BE49-F238E27FC236}">
              <a16:creationId xmlns:a16="http://schemas.microsoft.com/office/drawing/2014/main" id="{3E820C57-FA79-4BFC-AC84-0965AADD357F}"/>
            </a:ext>
          </a:extLst>
        </xdr:cNvPr>
        <xdr:cNvSpPr/>
      </xdr:nvSpPr>
      <xdr:spPr>
        <a:xfrm>
          <a:off x="10414000" y="1524000"/>
          <a:ext cx="1418167" cy="4021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Anular Celda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1661583</xdr:colOff>
      <xdr:row>6</xdr:row>
      <xdr:rowOff>70998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50EF1E2-60CC-422F-B364-1979EAAEF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61583" cy="1213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74084</xdr:colOff>
      <xdr:row>6</xdr:row>
      <xdr:rowOff>84666</xdr:rowOff>
    </xdr:from>
    <xdr:to>
      <xdr:col>0</xdr:col>
      <xdr:colOff>1703917</xdr:colOff>
      <xdr:row>9</xdr:row>
      <xdr:rowOff>158749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A7023D3-D1DA-440A-AC0C-91B0F581183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1047" b="24691"/>
        <a:stretch/>
      </xdr:blipFill>
      <xdr:spPr bwMode="auto">
        <a:xfrm>
          <a:off x="74084" y="1227666"/>
          <a:ext cx="1629833" cy="645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1725085</xdr:colOff>
      <xdr:row>0</xdr:row>
      <xdr:rowOff>0</xdr:rowOff>
    </xdr:from>
    <xdr:to>
      <xdr:col>1</xdr:col>
      <xdr:colOff>179918</xdr:colOff>
      <xdr:row>1</xdr:row>
      <xdr:rowOff>166843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BA24E94-9C61-45CF-93EB-400F3254EAE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93608" b="-3706"/>
        <a:stretch/>
      </xdr:blipFill>
      <xdr:spPr bwMode="auto">
        <a:xfrm>
          <a:off x="1725085" y="0"/>
          <a:ext cx="433916" cy="357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10584</xdr:colOff>
      <xdr:row>0</xdr:row>
      <xdr:rowOff>169332</xdr:rowOff>
    </xdr:from>
    <xdr:to>
      <xdr:col>16</xdr:col>
      <xdr:colOff>201085</xdr:colOff>
      <xdr:row>2</xdr:row>
      <xdr:rowOff>190498</xdr:rowOff>
    </xdr:to>
    <xdr:sp macro="[0]!ThisWorkbook.start" textlink="">
      <xdr:nvSpPr>
        <xdr:cNvPr id="11" name="Rectangle: Rounded Corners 4">
          <a:extLst>
            <a:ext uri="{FF2B5EF4-FFF2-40B4-BE49-F238E27FC236}">
              <a16:creationId xmlns:a16="http://schemas.microsoft.com/office/drawing/2014/main" id="{4EE8A6A8-7910-4A64-9114-069CAE3E3F5D}"/>
            </a:ext>
          </a:extLst>
        </xdr:cNvPr>
        <xdr:cNvSpPr/>
      </xdr:nvSpPr>
      <xdr:spPr>
        <a:xfrm>
          <a:off x="9969501" y="169332"/>
          <a:ext cx="1418167" cy="40216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Iniciar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76246-E5C2-4DCA-8A7A-25785F03690E}">
  <sheetPr codeName="Hoja9"/>
  <dimension ref="A1:AG44"/>
  <sheetViews>
    <sheetView tabSelected="1" zoomScaleNormal="90" workbookViewId="0">
      <selection activeCell="AG20" sqref="AG20"/>
    </sheetView>
  </sheetViews>
  <sheetFormatPr baseColWidth="10" defaultColWidth="9.1640625" defaultRowHeight="15" x14ac:dyDescent="0.2"/>
  <cols>
    <col min="1" max="1" width="29.6640625" style="12" customWidth="1"/>
    <col min="2" max="10" width="9.1640625" style="1"/>
    <col min="11" max="12" width="9.1640625" style="1" customWidth="1"/>
    <col min="14" max="14" width="9.1640625" style="1"/>
    <col min="20" max="20" width="9.1640625" style="1"/>
  </cols>
  <sheetData>
    <row r="1" spans="1:25" x14ac:dyDescent="0.2">
      <c r="A1" s="17">
        <v>10</v>
      </c>
      <c r="B1" s="19">
        <v>0</v>
      </c>
      <c r="C1" s="19">
        <v>1</v>
      </c>
      <c r="D1" s="19">
        <v>2</v>
      </c>
      <c r="E1" s="19">
        <v>3</v>
      </c>
      <c r="F1" s="19">
        <v>4</v>
      </c>
      <c r="G1" s="19">
        <v>5</v>
      </c>
      <c r="H1" s="19">
        <v>6</v>
      </c>
      <c r="I1" s="19">
        <v>7</v>
      </c>
      <c r="J1" s="19">
        <v>8</v>
      </c>
      <c r="K1" s="19">
        <v>9</v>
      </c>
      <c r="L1" s="19">
        <v>10</v>
      </c>
    </row>
    <row r="2" spans="1:25" x14ac:dyDescent="0.2">
      <c r="A2" s="18">
        <v>0</v>
      </c>
      <c r="B2" s="27">
        <f ca="1">+ABS($B2-B$2)+ABS($C2-B$3)</f>
        <v>0</v>
      </c>
      <c r="C2" s="28">
        <f t="shared" ref="C2:J10" ca="1" si="0">+ABS($B2-C$2)+ABS($C2-C$3)</f>
        <v>7</v>
      </c>
      <c r="D2" s="28">
        <f t="shared" ca="1" si="0"/>
        <v>16</v>
      </c>
      <c r="E2" s="28">
        <f t="shared" ca="1" si="0"/>
        <v>14</v>
      </c>
      <c r="F2" s="28">
        <f t="shared" ca="1" si="0"/>
        <v>4</v>
      </c>
      <c r="G2" s="28">
        <f t="shared" ca="1" si="0"/>
        <v>19</v>
      </c>
      <c r="H2" s="28">
        <f t="shared" ca="1" si="0"/>
        <v>16</v>
      </c>
      <c r="I2" s="28">
        <f t="shared" ca="1" si="0"/>
        <v>11</v>
      </c>
      <c r="J2" s="29">
        <f t="shared" ca="1" si="0"/>
        <v>8</v>
      </c>
      <c r="K2" s="3"/>
      <c r="L2" s="3"/>
    </row>
    <row r="3" spans="1:25" x14ac:dyDescent="0.2">
      <c r="A3" s="18">
        <v>1</v>
      </c>
      <c r="B3" s="30">
        <f t="shared" ref="B3:B10" ca="1" si="1">+ABS($B3-B$2)+ABS($C3-B$3)</f>
        <v>7</v>
      </c>
      <c r="C3" s="4">
        <f t="shared" ca="1" si="0"/>
        <v>0</v>
      </c>
      <c r="D3" s="4">
        <f t="shared" ca="1" si="0"/>
        <v>9</v>
      </c>
      <c r="E3" s="4">
        <f t="shared" ca="1" si="0"/>
        <v>17</v>
      </c>
      <c r="F3" s="4">
        <f t="shared" ca="1" si="0"/>
        <v>3</v>
      </c>
      <c r="G3" s="4">
        <f t="shared" ca="1" si="0"/>
        <v>16</v>
      </c>
      <c r="H3" s="4">
        <f t="shared" ca="1" si="0"/>
        <v>23</v>
      </c>
      <c r="I3" s="4">
        <f t="shared" ca="1" si="0"/>
        <v>16</v>
      </c>
      <c r="J3" s="31">
        <f t="shared" ca="1" si="0"/>
        <v>15</v>
      </c>
      <c r="K3" s="3"/>
      <c r="L3" s="3"/>
    </row>
    <row r="4" spans="1:25" x14ac:dyDescent="0.2">
      <c r="A4" s="18">
        <v>2</v>
      </c>
      <c r="B4" s="30">
        <f t="shared" ca="1" si="1"/>
        <v>16</v>
      </c>
      <c r="C4" s="4">
        <f t="shared" ca="1" si="0"/>
        <v>9</v>
      </c>
      <c r="D4" s="4">
        <f t="shared" ca="1" si="0"/>
        <v>0</v>
      </c>
      <c r="E4" s="4">
        <f t="shared" ca="1" si="0"/>
        <v>10</v>
      </c>
      <c r="F4" s="4">
        <f t="shared" ca="1" si="0"/>
        <v>12</v>
      </c>
      <c r="G4" s="4">
        <f t="shared" ca="1" si="0"/>
        <v>23</v>
      </c>
      <c r="H4" s="4">
        <f t="shared" ca="1" si="0"/>
        <v>32</v>
      </c>
      <c r="I4" s="4">
        <f t="shared" ca="1" si="0"/>
        <v>25</v>
      </c>
      <c r="J4" s="31">
        <f t="shared" ca="1" si="0"/>
        <v>24</v>
      </c>
      <c r="K4" s="3"/>
      <c r="L4" s="3"/>
      <c r="N4" s="1" t="s">
        <v>7</v>
      </c>
    </row>
    <row r="5" spans="1:25" x14ac:dyDescent="0.2">
      <c r="A5" s="18">
        <v>3</v>
      </c>
      <c r="B5" s="30">
        <f t="shared" ca="1" si="1"/>
        <v>14</v>
      </c>
      <c r="C5" s="4">
        <f t="shared" ca="1" si="0"/>
        <v>17</v>
      </c>
      <c r="D5" s="4">
        <f t="shared" ca="1" si="0"/>
        <v>10</v>
      </c>
      <c r="E5" s="4">
        <f t="shared" ca="1" si="0"/>
        <v>0</v>
      </c>
      <c r="F5" s="4">
        <f t="shared" ca="1" si="0"/>
        <v>16</v>
      </c>
      <c r="G5" s="4">
        <f t="shared" ca="1" si="0"/>
        <v>33</v>
      </c>
      <c r="H5" s="4">
        <f t="shared" ca="1" si="0"/>
        <v>22</v>
      </c>
      <c r="I5" s="4">
        <f t="shared" ca="1" si="0"/>
        <v>15</v>
      </c>
      <c r="J5" s="31">
        <f t="shared" ca="1" si="0"/>
        <v>14</v>
      </c>
      <c r="K5" s="3"/>
      <c r="L5" s="3"/>
      <c r="N5" s="14">
        <v>0</v>
      </c>
      <c r="O5" s="3">
        <v>8</v>
      </c>
      <c r="P5" s="3">
        <v>0</v>
      </c>
      <c r="Q5" s="15"/>
      <c r="R5" s="14"/>
      <c r="S5" s="14"/>
      <c r="T5" s="3"/>
      <c r="U5" s="14"/>
      <c r="V5" s="14"/>
      <c r="W5" s="3"/>
      <c r="X5" s="3"/>
      <c r="Y5" s="3"/>
    </row>
    <row r="6" spans="1:25" x14ac:dyDescent="0.2">
      <c r="A6" s="18">
        <v>4</v>
      </c>
      <c r="B6" s="30">
        <f t="shared" ca="1" si="1"/>
        <v>4</v>
      </c>
      <c r="C6" s="4">
        <f t="shared" ca="1" si="0"/>
        <v>3</v>
      </c>
      <c r="D6" s="4">
        <f t="shared" ca="1" si="0"/>
        <v>12</v>
      </c>
      <c r="E6" s="4">
        <f t="shared" ca="1" si="0"/>
        <v>16</v>
      </c>
      <c r="F6" s="4">
        <f t="shared" ca="1" si="0"/>
        <v>0</v>
      </c>
      <c r="G6" s="4">
        <f t="shared" ca="1" si="0"/>
        <v>17</v>
      </c>
      <c r="H6" s="4">
        <f t="shared" ca="1" si="0"/>
        <v>20</v>
      </c>
      <c r="I6" s="4">
        <f t="shared" ca="1" si="0"/>
        <v>13</v>
      </c>
      <c r="J6" s="31">
        <f t="shared" ca="1" si="0"/>
        <v>12</v>
      </c>
      <c r="K6" s="3"/>
      <c r="L6" s="3"/>
      <c r="N6" s="2" t="s">
        <v>6</v>
      </c>
      <c r="O6" s="16">
        <v>16</v>
      </c>
    </row>
    <row r="7" spans="1:25" x14ac:dyDescent="0.2">
      <c r="A7" s="18">
        <v>5</v>
      </c>
      <c r="B7" s="30">
        <f t="shared" ca="1" si="1"/>
        <v>19</v>
      </c>
      <c r="C7" s="4">
        <f t="shared" ca="1" si="0"/>
        <v>16</v>
      </c>
      <c r="D7" s="4">
        <f t="shared" ca="1" si="0"/>
        <v>23</v>
      </c>
      <c r="E7" s="4">
        <f t="shared" ca="1" si="0"/>
        <v>33</v>
      </c>
      <c r="F7" s="4">
        <f t="shared" ca="1" si="0"/>
        <v>17</v>
      </c>
      <c r="G7" s="4">
        <f t="shared" ca="1" si="0"/>
        <v>0</v>
      </c>
      <c r="H7" s="4">
        <f t="shared" ca="1" si="0"/>
        <v>17</v>
      </c>
      <c r="I7" s="4">
        <f t="shared" ca="1" si="0"/>
        <v>30</v>
      </c>
      <c r="J7" s="31">
        <f t="shared" ca="1" si="0"/>
        <v>19</v>
      </c>
      <c r="K7" s="3"/>
      <c r="L7" s="3"/>
    </row>
    <row r="8" spans="1:25" x14ac:dyDescent="0.2">
      <c r="A8" s="18">
        <v>6</v>
      </c>
      <c r="B8" s="30">
        <f t="shared" ca="1" si="1"/>
        <v>16</v>
      </c>
      <c r="C8" s="4">
        <f t="shared" ca="1" si="0"/>
        <v>23</v>
      </c>
      <c r="D8" s="4">
        <f t="shared" ca="1" si="0"/>
        <v>32</v>
      </c>
      <c r="E8" s="4">
        <f t="shared" ca="1" si="0"/>
        <v>22</v>
      </c>
      <c r="F8" s="4">
        <f t="shared" ca="1" si="0"/>
        <v>20</v>
      </c>
      <c r="G8" s="4">
        <f t="shared" ca="1" si="0"/>
        <v>17</v>
      </c>
      <c r="H8" s="4">
        <f t="shared" ca="1" si="0"/>
        <v>0</v>
      </c>
      <c r="I8" s="4">
        <f t="shared" ca="1" si="0"/>
        <v>13</v>
      </c>
      <c r="J8" s="31">
        <f t="shared" ca="1" si="0"/>
        <v>8</v>
      </c>
      <c r="K8" s="3"/>
      <c r="L8" s="3"/>
      <c r="O8" s="1"/>
    </row>
    <row r="9" spans="1:25" x14ac:dyDescent="0.2">
      <c r="A9" s="18">
        <v>7</v>
      </c>
      <c r="B9" s="30">
        <f t="shared" ca="1" si="1"/>
        <v>11</v>
      </c>
      <c r="C9" s="4">
        <f t="shared" ca="1" si="0"/>
        <v>16</v>
      </c>
      <c r="D9" s="4">
        <f t="shared" ca="1" si="0"/>
        <v>25</v>
      </c>
      <c r="E9" s="4">
        <f t="shared" ca="1" si="0"/>
        <v>15</v>
      </c>
      <c r="F9" s="4">
        <f t="shared" ca="1" si="0"/>
        <v>13</v>
      </c>
      <c r="G9" s="4">
        <f t="shared" ca="1" si="0"/>
        <v>30</v>
      </c>
      <c r="H9" s="4">
        <f t="shared" ca="1" si="0"/>
        <v>13</v>
      </c>
      <c r="I9" s="4">
        <f t="shared" ca="1" si="0"/>
        <v>0</v>
      </c>
      <c r="J9" s="31">
        <f t="shared" ca="1" si="0"/>
        <v>11</v>
      </c>
      <c r="K9" s="3"/>
      <c r="L9" s="3"/>
    </row>
    <row r="10" spans="1:25" x14ac:dyDescent="0.2">
      <c r="A10" s="18">
        <v>8</v>
      </c>
      <c r="B10" s="32">
        <f t="shared" ca="1" si="1"/>
        <v>8</v>
      </c>
      <c r="C10" s="33">
        <f t="shared" ca="1" si="0"/>
        <v>15</v>
      </c>
      <c r="D10" s="33">
        <f t="shared" ca="1" si="0"/>
        <v>24</v>
      </c>
      <c r="E10" s="33">
        <f t="shared" ca="1" si="0"/>
        <v>14</v>
      </c>
      <c r="F10" s="33">
        <f t="shared" ca="1" si="0"/>
        <v>12</v>
      </c>
      <c r="G10" s="33">
        <f t="shared" ca="1" si="0"/>
        <v>19</v>
      </c>
      <c r="H10" s="33">
        <f t="shared" ca="1" si="0"/>
        <v>8</v>
      </c>
      <c r="I10" s="33">
        <f t="shared" ca="1" si="0"/>
        <v>11</v>
      </c>
      <c r="J10" s="34">
        <f t="shared" ca="1" si="0"/>
        <v>0</v>
      </c>
      <c r="K10" s="3"/>
      <c r="L10" s="3"/>
    </row>
    <row r="11" spans="1:25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25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4" spans="1:25" x14ac:dyDescent="0.2">
      <c r="A14" s="11" t="s">
        <v>3</v>
      </c>
      <c r="B14" s="17">
        <v>0</v>
      </c>
      <c r="C14" s="17">
        <v>1</v>
      </c>
      <c r="D14" s="17">
        <v>2</v>
      </c>
      <c r="E14" s="17">
        <v>3</v>
      </c>
      <c r="F14" s="17">
        <v>4</v>
      </c>
      <c r="G14" s="17">
        <v>5</v>
      </c>
      <c r="H14" s="17">
        <v>6</v>
      </c>
      <c r="I14" s="17">
        <v>7</v>
      </c>
      <c r="J14" s="17">
        <v>8</v>
      </c>
      <c r="K14" s="17">
        <v>9</v>
      </c>
      <c r="L14" s="17">
        <v>10</v>
      </c>
      <c r="M14" s="1" t="s">
        <v>2</v>
      </c>
      <c r="N14" s="1" t="s">
        <v>1</v>
      </c>
      <c r="O14" s="2" t="s">
        <v>0</v>
      </c>
      <c r="U14" s="1"/>
      <c r="V14" s="1"/>
    </row>
    <row r="15" spans="1:25" x14ac:dyDescent="0.2">
      <c r="A15" s="18">
        <v>0</v>
      </c>
      <c r="B15" s="24">
        <v>-1</v>
      </c>
      <c r="C15" s="24">
        <v>-1</v>
      </c>
      <c r="D15" s="24">
        <v>-1</v>
      </c>
      <c r="E15" s="24">
        <v>-1</v>
      </c>
      <c r="F15" s="24">
        <v>-1</v>
      </c>
      <c r="G15" s="24">
        <v>-1</v>
      </c>
      <c r="H15" s="24">
        <v>-1</v>
      </c>
      <c r="I15" s="24">
        <v>-1</v>
      </c>
      <c r="J15" s="24">
        <v>-1</v>
      </c>
      <c r="K15" s="24">
        <v>-1</v>
      </c>
      <c r="L15" s="24">
        <v>-1</v>
      </c>
      <c r="M15" s="14">
        <v>7</v>
      </c>
      <c r="N15" s="14">
        <v>5</v>
      </c>
      <c r="O15" s="14">
        <v>0</v>
      </c>
      <c r="U15" s="1"/>
      <c r="V15" s="1"/>
    </row>
    <row r="16" spans="1:25" ht="16" thickBot="1" x14ac:dyDescent="0.25">
      <c r="A16" s="18">
        <v>1</v>
      </c>
      <c r="B16" s="24">
        <v>-1</v>
      </c>
      <c r="C16" s="24">
        <v>-1</v>
      </c>
      <c r="D16" s="24">
        <v>-1</v>
      </c>
      <c r="E16" s="24">
        <v>-1</v>
      </c>
      <c r="F16" s="24">
        <v>-1</v>
      </c>
      <c r="G16" s="24">
        <v>-1</v>
      </c>
      <c r="H16" s="24">
        <v>-1</v>
      </c>
      <c r="I16" s="24">
        <v>-1</v>
      </c>
      <c r="J16" s="24">
        <v>-1</v>
      </c>
      <c r="K16" s="24">
        <v>-1</v>
      </c>
      <c r="L16" s="24">
        <v>-1</v>
      </c>
      <c r="U16" s="1"/>
      <c r="V16" s="1"/>
    </row>
    <row r="17" spans="1:33" x14ac:dyDescent="0.2">
      <c r="A17" s="18">
        <v>2</v>
      </c>
      <c r="B17" s="24">
        <v>-1</v>
      </c>
      <c r="C17" s="24">
        <v>-1</v>
      </c>
      <c r="D17" s="24">
        <v>-1</v>
      </c>
      <c r="E17" s="24">
        <v>-1</v>
      </c>
      <c r="F17" s="24">
        <v>-1</v>
      </c>
      <c r="G17" s="24">
        <v>-1</v>
      </c>
      <c r="H17" s="24">
        <v>-1</v>
      </c>
      <c r="I17" s="24">
        <v>-1</v>
      </c>
      <c r="J17" s="24">
        <v>-1</v>
      </c>
      <c r="K17" s="24">
        <v>-1</v>
      </c>
      <c r="L17" s="24">
        <v>-1</v>
      </c>
      <c r="N17" s="10" t="s">
        <v>4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20"/>
    </row>
    <row r="18" spans="1:33" x14ac:dyDescent="0.2">
      <c r="A18" s="18">
        <v>3</v>
      </c>
      <c r="B18" s="24">
        <v>-1</v>
      </c>
      <c r="C18" s="24">
        <v>-1</v>
      </c>
      <c r="D18" s="24">
        <v>-1</v>
      </c>
      <c r="E18" s="24">
        <v>-1</v>
      </c>
      <c r="F18" s="24">
        <v>-1</v>
      </c>
      <c r="G18" s="24">
        <v>-1</v>
      </c>
      <c r="H18" s="24">
        <v>-1</v>
      </c>
      <c r="I18" s="24">
        <v>-1</v>
      </c>
      <c r="J18" s="24">
        <v>-1</v>
      </c>
      <c r="K18" s="24">
        <v>-1</v>
      </c>
      <c r="L18" s="24">
        <v>-1</v>
      </c>
      <c r="N18" s="7"/>
      <c r="O18" s="21"/>
      <c r="P18" s="3"/>
      <c r="Q18" s="21"/>
      <c r="R18" s="6"/>
      <c r="S18" s="6"/>
      <c r="T18" s="6"/>
      <c r="U18" s="9"/>
      <c r="V18" s="3"/>
      <c r="W18" s="6"/>
      <c r="X18" s="6"/>
      <c r="Y18" s="6"/>
      <c r="Z18" s="6"/>
      <c r="AA18" s="6"/>
      <c r="AB18" s="6"/>
      <c r="AC18" s="6"/>
      <c r="AD18" s="6" t="s">
        <v>6</v>
      </c>
      <c r="AE18" s="6" t="s">
        <v>8</v>
      </c>
      <c r="AF18" s="6" t="s">
        <v>9</v>
      </c>
      <c r="AG18" s="22" t="s">
        <v>10</v>
      </c>
    </row>
    <row r="19" spans="1:33" x14ac:dyDescent="0.2">
      <c r="A19" s="18">
        <v>4</v>
      </c>
      <c r="B19" s="24">
        <v>-1</v>
      </c>
      <c r="C19" s="24">
        <v>-1</v>
      </c>
      <c r="D19" s="24">
        <v>-1</v>
      </c>
      <c r="E19" s="24">
        <v>-1</v>
      </c>
      <c r="F19" s="24">
        <v>-1</v>
      </c>
      <c r="G19" s="24">
        <v>-1</v>
      </c>
      <c r="H19" s="24">
        <v>-1</v>
      </c>
      <c r="I19" s="24">
        <v>-1</v>
      </c>
      <c r="J19" s="24">
        <v>-1</v>
      </c>
      <c r="K19" s="24">
        <v>-1</v>
      </c>
      <c r="L19" s="24">
        <v>-1</v>
      </c>
      <c r="N19" s="7">
        <v>0</v>
      </c>
      <c r="O19" s="3">
        <v>4</v>
      </c>
      <c r="P19" s="6">
        <v>1</v>
      </c>
      <c r="Q19" s="6">
        <v>2</v>
      </c>
      <c r="R19" s="6">
        <v>3</v>
      </c>
      <c r="S19" s="6">
        <v>7</v>
      </c>
      <c r="T19" s="6">
        <v>5</v>
      </c>
      <c r="U19" s="6">
        <v>6</v>
      </c>
      <c r="V19" s="6">
        <v>8</v>
      </c>
      <c r="W19" s="6">
        <v>0</v>
      </c>
      <c r="X19" s="6">
        <v>104</v>
      </c>
      <c r="Y19" s="6"/>
      <c r="Z19" s="6">
        <v>0</v>
      </c>
      <c r="AA19" s="6">
        <v>1</v>
      </c>
      <c r="AB19" s="6">
        <v>0</v>
      </c>
      <c r="AC19" s="6"/>
      <c r="AD19" s="6">
        <v>14</v>
      </c>
      <c r="AE19" s="6">
        <f>SUM(AD19:AD26)</f>
        <v>190</v>
      </c>
      <c r="AF19" s="6">
        <v>104</v>
      </c>
      <c r="AG19" s="22">
        <f>AE19-AF19</f>
        <v>86</v>
      </c>
    </row>
    <row r="20" spans="1:33" x14ac:dyDescent="0.2">
      <c r="A20" s="18">
        <v>5</v>
      </c>
      <c r="B20" s="24">
        <v>-1</v>
      </c>
      <c r="C20" s="24">
        <v>-1</v>
      </c>
      <c r="D20" s="24">
        <v>-1</v>
      </c>
      <c r="E20" s="24">
        <v>-1</v>
      </c>
      <c r="F20" s="24">
        <v>-1</v>
      </c>
      <c r="G20" s="24">
        <v>-1</v>
      </c>
      <c r="H20" s="24">
        <v>-1</v>
      </c>
      <c r="I20" s="24">
        <v>-1</v>
      </c>
      <c r="J20" s="24">
        <v>-1</v>
      </c>
      <c r="K20" s="24">
        <v>-1</v>
      </c>
      <c r="L20" s="24">
        <v>-1</v>
      </c>
      <c r="N20" s="7"/>
      <c r="O20" s="3"/>
      <c r="P20" s="3"/>
      <c r="Q20" s="3"/>
      <c r="R20" s="6"/>
      <c r="S20" s="6"/>
      <c r="T20" s="4"/>
      <c r="U20" s="6"/>
      <c r="V20" s="6"/>
      <c r="W20" s="3"/>
      <c r="X20" s="6"/>
      <c r="Y20" s="6"/>
      <c r="Z20" s="6">
        <v>0</v>
      </c>
      <c r="AA20" s="6">
        <v>2</v>
      </c>
      <c r="AB20" s="6">
        <v>0</v>
      </c>
      <c r="AC20" s="6"/>
      <c r="AD20" s="6">
        <v>32</v>
      </c>
      <c r="AE20" s="6"/>
      <c r="AF20" s="6"/>
      <c r="AG20" s="22"/>
    </row>
    <row r="21" spans="1:33" x14ac:dyDescent="0.2">
      <c r="A21" s="18">
        <v>6</v>
      </c>
      <c r="B21" s="24">
        <v>-1</v>
      </c>
      <c r="C21" s="24">
        <v>-1</v>
      </c>
      <c r="D21" s="24">
        <v>-1</v>
      </c>
      <c r="E21" s="24">
        <v>-1</v>
      </c>
      <c r="F21" s="24">
        <v>-1</v>
      </c>
      <c r="G21" s="24">
        <v>-1</v>
      </c>
      <c r="H21" s="24">
        <v>-1</v>
      </c>
      <c r="I21" s="24">
        <v>-1</v>
      </c>
      <c r="J21" s="24">
        <v>-1</v>
      </c>
      <c r="K21" s="24">
        <v>-1</v>
      </c>
      <c r="L21" s="24">
        <v>-1</v>
      </c>
      <c r="N21" s="7"/>
      <c r="O21" s="6">
        <v>80</v>
      </c>
      <c r="P21" s="6">
        <v>100</v>
      </c>
      <c r="Q21" s="6">
        <v>150</v>
      </c>
      <c r="R21" s="6">
        <v>20</v>
      </c>
      <c r="S21" s="6">
        <f>SUM(O21:R21)</f>
        <v>350</v>
      </c>
      <c r="T21" s="6">
        <f>S21/S22*100</f>
        <v>35</v>
      </c>
      <c r="U21" s="6"/>
      <c r="V21" s="6"/>
      <c r="W21" s="6"/>
      <c r="X21" s="6"/>
      <c r="Y21" s="6"/>
      <c r="Z21" s="6">
        <v>0</v>
      </c>
      <c r="AA21" s="6">
        <v>3</v>
      </c>
      <c r="AB21" s="6">
        <v>0</v>
      </c>
      <c r="AC21" s="6"/>
      <c r="AD21" s="6">
        <v>28</v>
      </c>
      <c r="AE21" s="6"/>
      <c r="AF21" s="6"/>
      <c r="AG21" s="22"/>
    </row>
    <row r="22" spans="1:33" x14ac:dyDescent="0.2">
      <c r="A22" s="18">
        <v>7</v>
      </c>
      <c r="B22" s="24">
        <v>-1</v>
      </c>
      <c r="C22" s="24">
        <v>-1</v>
      </c>
      <c r="D22" s="24">
        <v>-1</v>
      </c>
      <c r="E22" s="24">
        <v>-1</v>
      </c>
      <c r="F22" s="24">
        <v>-1</v>
      </c>
      <c r="G22" s="24">
        <v>0</v>
      </c>
      <c r="H22" s="24">
        <v>-1</v>
      </c>
      <c r="I22" s="24">
        <v>-1</v>
      </c>
      <c r="J22" s="24">
        <v>-1</v>
      </c>
      <c r="K22" s="24">
        <v>-1</v>
      </c>
      <c r="L22" s="24">
        <v>-1</v>
      </c>
      <c r="N22" s="7"/>
      <c r="O22" s="6"/>
      <c r="P22" s="6"/>
      <c r="Q22" s="6"/>
      <c r="R22" s="6"/>
      <c r="S22" s="6">
        <v>1000</v>
      </c>
      <c r="T22" s="6"/>
      <c r="U22" s="6"/>
      <c r="V22" s="6"/>
      <c r="W22" s="6"/>
      <c r="X22" s="6"/>
      <c r="Y22" s="6"/>
      <c r="Z22" s="6">
        <v>0</v>
      </c>
      <c r="AA22" s="6">
        <v>4</v>
      </c>
      <c r="AB22" s="6">
        <v>0</v>
      </c>
      <c r="AC22" s="6"/>
      <c r="AD22" s="6">
        <v>8</v>
      </c>
      <c r="AE22" s="6"/>
      <c r="AF22" s="6"/>
      <c r="AG22" s="22"/>
    </row>
    <row r="23" spans="1:33" x14ac:dyDescent="0.2">
      <c r="A23" s="18">
        <v>8</v>
      </c>
      <c r="B23" s="24">
        <v>0</v>
      </c>
      <c r="C23" s="24">
        <v>-1</v>
      </c>
      <c r="D23" s="24">
        <v>-1</v>
      </c>
      <c r="E23" s="24">
        <v>-1</v>
      </c>
      <c r="F23" s="24">
        <v>0</v>
      </c>
      <c r="G23" s="24">
        <v>-1</v>
      </c>
      <c r="H23" s="24">
        <v>-1</v>
      </c>
      <c r="I23" s="24">
        <v>-1</v>
      </c>
      <c r="J23" s="24">
        <v>-1</v>
      </c>
      <c r="K23" s="24">
        <v>-1</v>
      </c>
      <c r="L23" s="24">
        <v>-1</v>
      </c>
      <c r="N23" s="7"/>
      <c r="O23" s="3"/>
      <c r="P23" s="3"/>
      <c r="Q23" s="3"/>
      <c r="R23" s="3"/>
      <c r="S23" s="6"/>
      <c r="T23" s="6"/>
      <c r="U23" s="6"/>
      <c r="V23" s="6"/>
      <c r="W23" s="6"/>
      <c r="X23" s="6"/>
      <c r="Y23" s="6"/>
      <c r="Z23" s="6">
        <v>0</v>
      </c>
      <c r="AA23" s="6">
        <v>5</v>
      </c>
      <c r="AB23" s="6">
        <v>0</v>
      </c>
      <c r="AC23" s="6"/>
      <c r="AD23" s="6">
        <v>38</v>
      </c>
      <c r="AE23" s="6"/>
      <c r="AF23" s="6"/>
      <c r="AG23" s="22"/>
    </row>
    <row r="24" spans="1:33" x14ac:dyDescent="0.2">
      <c r="A24" s="18">
        <v>9</v>
      </c>
      <c r="B24" s="24">
        <v>0</v>
      </c>
      <c r="C24" s="24">
        <v>-1</v>
      </c>
      <c r="D24" s="24">
        <v>-1</v>
      </c>
      <c r="E24" s="24">
        <v>-1</v>
      </c>
      <c r="F24" s="24">
        <v>-1</v>
      </c>
      <c r="G24" s="24">
        <v>-1</v>
      </c>
      <c r="H24" s="24">
        <v>-1</v>
      </c>
      <c r="I24" s="24">
        <v>-1</v>
      </c>
      <c r="J24" s="24">
        <v>-1</v>
      </c>
      <c r="K24" s="24">
        <v>-1</v>
      </c>
      <c r="L24" s="24">
        <v>0</v>
      </c>
      <c r="N24" s="7"/>
      <c r="O24" s="3"/>
      <c r="P24" s="3"/>
      <c r="Q24" s="6"/>
      <c r="R24" s="6"/>
      <c r="S24" s="6"/>
      <c r="T24" s="6"/>
      <c r="U24" s="6"/>
      <c r="V24" s="6"/>
      <c r="W24" s="6"/>
      <c r="X24" s="6"/>
      <c r="Y24" s="6"/>
      <c r="Z24" s="6">
        <v>0</v>
      </c>
      <c r="AA24" s="6">
        <v>6</v>
      </c>
      <c r="AB24" s="6">
        <v>0</v>
      </c>
      <c r="AC24" s="6"/>
      <c r="AD24" s="6">
        <v>32</v>
      </c>
      <c r="AE24" s="6"/>
      <c r="AF24" s="6"/>
      <c r="AG24" s="22"/>
    </row>
    <row r="25" spans="1:33" x14ac:dyDescent="0.2">
      <c r="A25" s="18">
        <v>10</v>
      </c>
      <c r="B25" s="24">
        <v>0</v>
      </c>
      <c r="C25" s="24">
        <v>-1</v>
      </c>
      <c r="D25" s="24">
        <v>-1</v>
      </c>
      <c r="E25" s="24">
        <v>-1</v>
      </c>
      <c r="F25" s="24">
        <v>-1</v>
      </c>
      <c r="G25" s="24">
        <v>-1</v>
      </c>
      <c r="H25" s="24">
        <v>-1</v>
      </c>
      <c r="I25" s="24">
        <v>-1</v>
      </c>
      <c r="J25" s="24">
        <v>-1</v>
      </c>
      <c r="K25" s="24">
        <v>0</v>
      </c>
      <c r="L25" s="24">
        <v>-1</v>
      </c>
      <c r="N25" s="7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>
        <v>0</v>
      </c>
      <c r="AA25" s="6">
        <v>7</v>
      </c>
      <c r="AB25" s="6">
        <v>0</v>
      </c>
      <c r="AC25" s="6"/>
      <c r="AD25" s="6">
        <v>22</v>
      </c>
      <c r="AE25" s="6"/>
      <c r="AF25" s="6"/>
      <c r="AG25" s="22"/>
    </row>
    <row r="26" spans="1:33" x14ac:dyDescent="0.2">
      <c r="N26" s="7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>
        <v>0</v>
      </c>
      <c r="AA26" s="6">
        <v>8</v>
      </c>
      <c r="AB26" s="6">
        <v>0</v>
      </c>
      <c r="AC26" s="6"/>
      <c r="AD26" s="6">
        <v>16</v>
      </c>
      <c r="AE26" s="6"/>
      <c r="AF26" s="6"/>
      <c r="AG26" s="22"/>
    </row>
    <row r="27" spans="1:33" ht="16" thickBot="1" x14ac:dyDescent="0.25">
      <c r="A27" s="12" t="s">
        <v>5</v>
      </c>
      <c r="B27" s="17">
        <v>0</v>
      </c>
      <c r="C27" s="17">
        <v>1</v>
      </c>
      <c r="D27" s="17">
        <v>2</v>
      </c>
      <c r="E27" s="17">
        <v>3</v>
      </c>
      <c r="F27" s="17">
        <v>4</v>
      </c>
      <c r="G27" s="17">
        <v>5</v>
      </c>
      <c r="H27" s="17">
        <v>6</v>
      </c>
      <c r="I27" s="17">
        <v>7</v>
      </c>
      <c r="J27" s="17">
        <v>8</v>
      </c>
      <c r="K27" s="17">
        <v>9</v>
      </c>
      <c r="L27" s="17">
        <v>10</v>
      </c>
      <c r="N27" s="4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23"/>
    </row>
    <row r="28" spans="1:33" x14ac:dyDescent="0.2">
      <c r="B28" s="25"/>
      <c r="C28" s="25">
        <v>100</v>
      </c>
      <c r="D28" s="25">
        <v>150</v>
      </c>
      <c r="E28" s="25">
        <v>20</v>
      </c>
      <c r="F28" s="25">
        <v>80</v>
      </c>
      <c r="G28" s="25">
        <v>50</v>
      </c>
      <c r="H28" s="25">
        <v>80</v>
      </c>
      <c r="I28" s="25">
        <v>40</v>
      </c>
      <c r="J28" s="25">
        <v>200</v>
      </c>
      <c r="K28" s="26"/>
      <c r="L28" s="26"/>
      <c r="O28" s="1"/>
      <c r="U28" s="1"/>
      <c r="V28" s="1"/>
    </row>
    <row r="29" spans="1:33" x14ac:dyDescent="0.2">
      <c r="A29" s="13"/>
      <c r="O29" s="1"/>
      <c r="U29" s="1"/>
      <c r="V29" s="1"/>
    </row>
    <row r="30" spans="1:33" x14ac:dyDescent="0.2">
      <c r="A30" s="13"/>
      <c r="O30" s="1"/>
    </row>
    <row r="31" spans="1:33" x14ac:dyDescent="0.2">
      <c r="A31" s="13"/>
      <c r="O31" s="1"/>
    </row>
    <row r="32" spans="1:33" x14ac:dyDescent="0.2">
      <c r="O32" s="1"/>
    </row>
    <row r="33" spans="15:15" x14ac:dyDescent="0.2">
      <c r="O33" s="1"/>
    </row>
    <row r="34" spans="15:15" x14ac:dyDescent="0.2">
      <c r="O34" s="1"/>
    </row>
    <row r="35" spans="15:15" x14ac:dyDescent="0.2">
      <c r="O35" s="1"/>
    </row>
    <row r="36" spans="15:15" x14ac:dyDescent="0.2">
      <c r="O36" s="1"/>
    </row>
    <row r="37" spans="15:15" x14ac:dyDescent="0.2">
      <c r="O37" s="1"/>
    </row>
    <row r="38" spans="15:15" x14ac:dyDescent="0.2">
      <c r="O38" s="1"/>
    </row>
    <row r="39" spans="15:15" x14ac:dyDescent="0.2">
      <c r="O39" s="1"/>
    </row>
    <row r="40" spans="15:15" x14ac:dyDescent="0.2">
      <c r="O40" s="1"/>
    </row>
    <row r="41" spans="15:15" x14ac:dyDescent="0.2">
      <c r="O41" s="1"/>
    </row>
    <row r="42" spans="15:15" x14ac:dyDescent="0.2">
      <c r="O42" s="1"/>
    </row>
    <row r="43" spans="15:15" x14ac:dyDescent="0.2">
      <c r="O43" s="1"/>
    </row>
    <row r="44" spans="15:15" x14ac:dyDescent="0.2">
      <c r="O44" s="1"/>
    </row>
  </sheetData>
  <sheetProtection algorithmName="SHA-512" hashValue="UxWoelPi5Ucw93BBovA7iC3DPAlc4Fbikof5S5KkCgMKkAlm4YCHkoQKFq5yRzqAx1SQV6dBvvMRZm691k5gcQ==" saltValue="e6eKz/Uj68Y+73kPnwCDMQ==" spinCount="100000" sheet="1" objects="1" scenarios="1"/>
  <conditionalFormatting sqref="W18 R20:S20 B15:L25 O17:O18 Q18:R18 R5:S5 U5:V5">
    <cfRule type="cellIs" dxfId="0" priority="3" operator="lessThan">
      <formula>0</formula>
    </cfRule>
  </conditionalFormatting>
  <pageMargins left="0.25" right="0.25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C&amp;W trabajo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Admon Remax City</dc:creator>
  <cp:lastModifiedBy>Microsoft Office User</cp:lastModifiedBy>
  <dcterms:created xsi:type="dcterms:W3CDTF">2020-04-13T17:05:38Z</dcterms:created>
  <dcterms:modified xsi:type="dcterms:W3CDTF">2022-10-04T13:00:26Z</dcterms:modified>
</cp:coreProperties>
</file>